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bb.sharepoint.com/sites/ProductsandServices-Americas/Shared Documents/Product Management/DevOps/DevOps Package - Customer (DRAFT)/Testing/Template Files/"/>
    </mc:Choice>
  </mc:AlternateContent>
  <xr:revisionPtr revIDLastSave="12436" documentId="8_{1969A016-AD5F-4D15-A85E-E438D82A96E4}" xr6:coauthVersionLast="47" xr6:coauthVersionMax="47" xr10:uidLastSave="{7EDD68F2-30E5-4B7C-8E43-3C905E19B1F8}"/>
  <bookViews>
    <workbookView xWindow="-120" yWindow="-120" windowWidth="29040" windowHeight="15840" tabRatio="780" xr2:uid="{00000000-000D-0000-FFFF-FFFF00000000}"/>
  </bookViews>
  <sheets>
    <sheet name="Overview" sheetId="5" r:id="rId1"/>
    <sheet name="TestModuleTemplate" sheetId="10" r:id="rId2"/>
    <sheet name="TestStepsTemplate" sheetId="11" r:id="rId3"/>
    <sheet name="Dropdowns" sheetId="4" r:id="rId4"/>
  </sheets>
  <definedNames>
    <definedName name="TestStatusAutomated">Dropdowns!$C$2:$C$3</definedName>
    <definedName name="TestStatusManual">Dropdowns!$B$2:$B$4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 i="5" l="1"/>
  <c r="R5" i="5"/>
  <c r="M5" i="5"/>
  <c r="L5" i="5"/>
  <c r="N5" i="5"/>
  <c r="B7" i="10"/>
  <c r="B6" i="11"/>
  <c r="D1" i="11" a="1"/>
  <c r="D1" i="11" l="1"/>
  <c r="G7" i="10"/>
  <c r="C6"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<sst xmlns="http://schemas.openxmlformats.org/spreadsheetml/2006/main" count="114" uniqueCount="98">
  <si>
    <t>Manual Testing Details</t>
  </si>
  <si>
    <t>Test Date:</t>
  </si>
  <si>
    <t xml:space="preserve">Machine ID: </t>
  </si>
  <si>
    <t>Configuration:</t>
  </si>
  <si>
    <t>Software version:</t>
  </si>
  <si>
    <t>Description:</t>
  </si>
  <si>
    <t>Every test module requires two tabs:</t>
  </si>
  <si>
    <t xml:space="preserve">On the test module tab, the name of the corresponding test steps tab must be placed in cell C3. </t>
  </si>
  <si>
    <t xml:space="preserve">Test Module Name: </t>
  </si>
  <si>
    <t>Test Module XYZ</t>
  </si>
  <si>
    <t>Test Module Abbreviation:</t>
  </si>
  <si>
    <t>XYZ</t>
  </si>
  <si>
    <t>Steps Tab Name:</t>
  </si>
  <si>
    <t>Test Cases</t>
  </si>
  <si>
    <t>Index</t>
  </si>
  <si>
    <t>Test ID</t>
  </si>
  <si>
    <t>Description</t>
  </si>
  <si>
    <t>Tester</t>
  </si>
  <si>
    <t>Status</t>
  </si>
  <si>
    <t>Link to Steps</t>
  </si>
  <si>
    <t>Jira ID</t>
  </si>
  <si>
    <t>Notes</t>
  </si>
  <si>
    <t>Project Spec Reference</t>
  </si>
  <si>
    <t>Not tested</t>
  </si>
  <si>
    <t>Link</t>
  </si>
  <si>
    <t>Step</t>
  </si>
  <si>
    <t>Expected Result</t>
  </si>
  <si>
    <t>Do this</t>
  </si>
  <si>
    <t>Then do that</t>
  </si>
  <si>
    <t>Then do something else</t>
  </si>
  <si>
    <t>Then last step</t>
  </si>
  <si>
    <t>Testers</t>
  </si>
  <si>
    <t>Passed</t>
  </si>
  <si>
    <t>Failed</t>
  </si>
  <si>
    <t>Tester1</t>
  </si>
  <si>
    <t>Tester2</t>
  </si>
  <si>
    <t>Tester3</t>
  </si>
  <si>
    <t>Tester4</t>
  </si>
  <si>
    <t>Tester5</t>
  </si>
  <si>
    <t>TestModuleTemplate</t>
  </si>
  <si>
    <t>TestStepsTemplate</t>
  </si>
  <si>
    <t xml:space="preserve">The status of each test can be set on either tab (the status columns are linked). </t>
  </si>
  <si>
    <t>To easily jump between tabs, use the provided links. These links allow you to sort and filter the test module overview while still having easy access to the detailed test steps.</t>
  </si>
  <si>
    <r>
      <t xml:space="preserve">1. </t>
    </r>
    <r>
      <rPr>
        <b/>
        <sz val="11"/>
        <color theme="1"/>
        <rFont val="Calibri"/>
        <family val="2"/>
        <scheme val="minor"/>
      </rPr>
      <t>Test module</t>
    </r>
    <r>
      <rPr>
        <sz val="11"/>
        <color theme="1"/>
        <rFont val="Calibri"/>
        <family val="2"/>
        <scheme val="minor"/>
      </rPr>
      <t xml:space="preserve"> </t>
    </r>
    <r>
      <rPr>
        <b/>
        <sz val="11"/>
        <color theme="1"/>
        <rFont val="Calibri"/>
        <family val="2"/>
        <scheme val="minor"/>
      </rPr>
      <t>tab</t>
    </r>
    <r>
      <rPr>
        <sz val="11"/>
        <color theme="1"/>
        <rFont val="Calibri"/>
        <family val="2"/>
        <scheme val="minor"/>
      </rPr>
      <t xml:space="preserve">: provides an index for the test module with a short description of each test. The table here can be sorted / filtered as needed. </t>
    </r>
  </si>
  <si>
    <r>
      <t>2.</t>
    </r>
    <r>
      <rPr>
        <b/>
        <sz val="11"/>
        <color theme="1"/>
        <rFont val="Calibri"/>
        <family val="2"/>
        <scheme val="minor"/>
      </rPr>
      <t xml:space="preserve"> Test steps tab</t>
    </r>
    <r>
      <rPr>
        <sz val="11"/>
        <color theme="1"/>
        <rFont val="Calibri"/>
        <family val="2"/>
        <scheme val="minor"/>
      </rPr>
      <t>: provides the specific steps to execute each test. The table on this tab is a flat list that cannot be sorted/filtered.</t>
    </r>
  </si>
  <si>
    <t>Connection Between Tabs:</t>
  </si>
  <si>
    <t xml:space="preserve">        This way, if you know how to execute the test you can set the status directly from the TestModule tab. </t>
  </si>
  <si>
    <t xml:space="preserve">        But if you need more information on how to run the test, you can jump to the TestSteps tab and set the status from there. </t>
  </si>
  <si>
    <t xml:space="preserve">        - Add the reference to the project specification in column I. </t>
  </si>
  <si>
    <t>Buttons</t>
  </si>
  <si>
    <t>- If your number of testers is &lt;&gt; 5, then on the TestModuleTemplate tab, select cell D7. Go to Data -&gt; Data Validation. Change the source to your adjusted tester list. Hide the Dropdowns tab once your'e done (optional)</t>
  </si>
  <si>
    <t xml:space="preserve">        - The "Jira ID" in column G is to identify the corresponding Jira ID of the bug in the event that a test fails. Therefore, all failed tests should have a Jira ID listed. All passed tests should leave this empty.</t>
  </si>
  <si>
    <t xml:space="preserve">On the test steps tab, the name of the corresponding test module tab must be placed in cell D2. </t>
  </si>
  <si>
    <t>These cells connect the two tabs together. All links update automatically as long as the name of the partner tab is updated as mentioned above.</t>
  </si>
  <si>
    <t xml:space="preserve">        For example, test module name = "AlarmSystem", abbreviation = "ALM".</t>
  </si>
  <si>
    <t>Note that these actions cannot be undone!</t>
  </si>
  <si>
    <t>Before you begin:</t>
  </si>
  <si>
    <t xml:space="preserve">- On the Dropdowns tab, replace the placeholders in column A with the names of your manual testers. </t>
  </si>
  <si>
    <r>
      <t>The "</t>
    </r>
    <r>
      <rPr>
        <u/>
        <sz val="11"/>
        <color theme="1"/>
        <rFont val="Calibri"/>
        <family val="2"/>
        <scheme val="minor"/>
      </rPr>
      <t>Overview Tab</t>
    </r>
    <r>
      <rPr>
        <sz val="11"/>
        <color theme="1"/>
        <rFont val="Calibri"/>
        <family val="2"/>
        <scheme val="minor"/>
      </rPr>
      <t xml:space="preserve">" button on each of the test tabs will jump you back to this tab. </t>
    </r>
  </si>
  <si>
    <r>
      <t>Adding Test Modules and Test Cases:</t>
    </r>
    <r>
      <rPr>
        <sz val="11"/>
        <color theme="1"/>
        <rFont val="Calibri"/>
        <family val="2"/>
        <scheme val="minor"/>
      </rPr>
      <t xml:space="preserve"> </t>
    </r>
  </si>
  <si>
    <r>
      <t>The "</t>
    </r>
    <r>
      <rPr>
        <u/>
        <sz val="11"/>
        <color theme="1"/>
        <rFont val="Calibri"/>
        <family val="2"/>
        <scheme val="minor"/>
      </rPr>
      <t>Create New Test Module</t>
    </r>
    <r>
      <rPr>
        <sz val="11"/>
        <color theme="1"/>
        <rFont val="Calibri"/>
        <family val="2"/>
        <scheme val="minor"/>
      </rPr>
      <t xml:space="preserve">" button will add a new test module to the workbook. The module name must not have any spaces in it. It is recommended that the abbreviation is 3 uppercase characters. The abbreviation is used to created a globally unique test ID. </t>
    </r>
  </si>
  <si>
    <t xml:space="preserve">- Click the "Create New Test Module" button at the top of this tab. Fill out the test module name (no spaces!) and define an abbreviation (3 uppercase characters is recommended). </t>
  </si>
  <si>
    <t>Test Module</t>
  </si>
  <si>
    <t>Not Tested</t>
  </si>
  <si>
    <t>Total</t>
  </si>
  <si>
    <t>Jira project link:</t>
  </si>
  <si>
    <t>(select)</t>
  </si>
  <si>
    <t>- Click the "Add New Test Case" button on the test module tab to add the test cases</t>
  </si>
  <si>
    <r>
      <t>The "</t>
    </r>
    <r>
      <rPr>
        <u/>
        <sz val="11"/>
        <color theme="1"/>
        <rFont val="Calibri"/>
        <family val="2"/>
        <scheme val="minor"/>
      </rPr>
      <t>Add New Test Case</t>
    </r>
    <r>
      <rPr>
        <sz val="11"/>
        <color theme="1"/>
        <rFont val="Calibri"/>
        <family val="2"/>
        <scheme val="minor"/>
      </rPr>
      <t>" button adds a new entry to the Test Module list and adds a new section for the corresponding steps on the Test Steps tab</t>
    </r>
  </si>
  <si>
    <t xml:space="preserve">- Add the detailed test steps to the new test steps tab. Add or remove rows to the table depending on whether you have more or less than 5 steps per test case. </t>
  </si>
  <si>
    <t>Test Module Tab Name:</t>
  </si>
  <si>
    <t>Actual Result / Notes</t>
  </si>
  <si>
    <r>
      <t>The "</t>
    </r>
    <r>
      <rPr>
        <u/>
        <sz val="11"/>
        <color theme="1"/>
        <rFont val="Calibri"/>
        <family val="2"/>
        <scheme val="minor"/>
      </rPr>
      <t>Reset ALL Test Statuses</t>
    </r>
    <r>
      <rPr>
        <sz val="11"/>
        <color theme="1"/>
        <rFont val="Calibri"/>
        <family val="2"/>
        <scheme val="minor"/>
      </rPr>
      <t>" button at the top of this tab will reset the status of every test in the workbook to "Not tested", and clear out the Jira ID / Notes / Actual Result columns</t>
    </r>
  </si>
  <si>
    <t>XYZ should happen</t>
  </si>
  <si>
    <t>- Do not hide or delete the "TestModuleTemplate" and "TestStepsTemplate" tabs! If you do, then the "Create New Test Module" button will no longer work</t>
  </si>
  <si>
    <t>Test Status Manual</t>
  </si>
  <si>
    <t>Test Status Automated</t>
  </si>
  <si>
    <t>Written</t>
  </si>
  <si>
    <t>Type</t>
  </si>
  <si>
    <t>Unit Test</t>
  </si>
  <si>
    <t>Manual Test</t>
  </si>
  <si>
    <t>Not written</t>
  </si>
  <si>
    <r>
      <t>The "</t>
    </r>
    <r>
      <rPr>
        <u/>
        <sz val="11"/>
        <color theme="1"/>
        <rFont val="Calibri"/>
        <family val="2"/>
        <scheme val="minor"/>
      </rPr>
      <t>Reset All Manual Test Statuses in this Test Module</t>
    </r>
    <r>
      <rPr>
        <sz val="11"/>
        <color theme="1"/>
        <rFont val="Calibri"/>
        <family val="2"/>
        <scheme val="minor"/>
      </rPr>
      <t>" buttons, which are on both the TestModule tabs and the TestSteps tab, will reset all of the manual tests only within that specific test module to "Not tested", and clear out the Jira ID / Notes / Actual Result columns</t>
    </r>
  </si>
  <si>
    <t>MANUAL TEST STATUS SUMMARY</t>
  </si>
  <si>
    <t>UNIT TEST STATUS SUMMARY</t>
  </si>
  <si>
    <t>Not Written</t>
  </si>
  <si>
    <t>Setup step(s)</t>
  </si>
  <si>
    <t>- Freely edit the "Manual Testing Details" table at the top left of this tab as needed</t>
  </si>
  <si>
    <t>Abbr</t>
  </si>
  <si>
    <t xml:space="preserve">The delete buttons (small button with "X") allow you to delete individual test cases from the Test Module tab, or entire test modules from the Overview tab. </t>
  </si>
  <si>
    <t>DO NOT DO</t>
  </si>
  <si>
    <t>- Change column names</t>
  </si>
  <si>
    <t>- Rearrange column orders</t>
  </si>
  <si>
    <t>- Delete all test cases within a test module</t>
  </si>
  <si>
    <t xml:space="preserve">Do not do the following actions, otherwise the macros in the sheet will break: </t>
  </si>
  <si>
    <t>- Add any custom data into the "Index" column of the Test Steps tab.</t>
  </si>
  <si>
    <t>- Rename any tabs</t>
  </si>
  <si>
    <t>- Edit the test module / steps names at the top left of those tabs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</si>
</sst>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2"/>
      <color theme="1"/>
      <name val="Calibri"/>
      <family val="2"/>
      <scheme val="minor"/>
    </font>
    <font>
      <u/>
      <sz val="11"/>
      <color theme="10"/>
      <name val="Calibri"/>
      <family val="2"/>
      <scheme val="minor"/>
    </font>
    <font>
      <sz val="16"/>
      <color theme="1"/>
      <name val="Calibri"/>
      <family val="2"/>
      <scheme val="minor"/>
    </font>
    <font>
      <b/>
      <sz val="16"/>
      <color theme="1"/>
      <name val="Calibri"/>
      <family val="2"/>
      <scheme val="minor"/>
    </font>
    <font>
      <u/>
      <sz val="11"/>
      <color theme="1"/>
      <name val="Calibri"/>
      <family val="2"/>
      <scheme val="minor"/>
    </font>
    <font>
      <sz val="11"/>
      <color rgb="FF000000"/>
      <name val="Calibri"/>
      <family val="2"/>
    </font>
    <font>
      <sz val="8"/>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8"/>
      <color rgb="FF000000"/>
      <name val="Calibri"/>
      <family val="2"/>
    </font>
    <font>
      <b/>
      <u/>
      <sz val="11"/>
      <color rgb="FFFF0000"/>
      <name val="Calibri"/>
      <family val="2"/>
      <scheme val="minor"/>
    </font>
    <font>
      <b/>
      <sz val="11"/>
      <color rgb="FFFF0000"/>
      <name val="Calibri"/>
      <family val="2"/>
      <scheme val="minor"/>
    </font>
  </fonts>
  <fills count="6">
    <fill>
      <patternFill patternType="none"/>
    </fill>
    <fill>
      <patternFill patternType="gray125"/>
    </fill>
    <fill>
      <patternFill patternType="solid">
        <fgColor theme="0" tint="-0.14999847407452621"/>
        <bgColor theme="0" tint="-0.14999847407452621"/>
      </patternFill>
    </fill>
    <fill>
      <patternFill patternType="solid">
        <fgColor rgb="FFFFEB9C"/>
        <bgColor indexed="64"/>
      </patternFill>
    </fill>
    <fill>
      <patternFill patternType="solid">
        <fgColor rgb="FFC6EFCE"/>
        <bgColor indexed="64"/>
      </patternFill>
    </fill>
    <fill>
      <patternFill patternType="solid">
        <fgColor rgb="FFFFC7CE"/>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auto="1"/>
      </right>
      <top/>
      <bottom/>
      <diagonal/>
    </border>
    <border>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thin">
        <color auto="1"/>
      </right>
      <top/>
      <bottom/>
      <diagonal/>
    </border>
  </borders>
  <cellStyleXfs count="2">
    <xf numFmtId="0" fontId="0" fillId="0" borderId="0"/>
    <xf numFmtId="0" fontId="3" fillId="0" borderId="0" applyNumberFormat="0" applyFill="0" applyBorder="0" applyAlignment="0" applyProtection="0"/>
  </cellStyleXfs>
  <cellXfs count="68">
    <xf numFmtId="0" fontId="0" fillId="0" borderId="0" xfId="0"/>
    <xf numFmtId="0" fontId="0" fillId="0" borderId="1" xfId="0" applyBorder="1"/>
    <xf numFmtId="0" fontId="0" fillId="0" borderId="0" xfId="0" applyAlignment="1">
      <alignment wrapText="1"/>
    </xf>
    <xf numFmtId="0" fontId="2" fillId="0" borderId="0" xfId="0" applyFont="1"/>
    <xf numFmtId="0" fontId="4" fillId="0" borderId="1" xfId="0" applyFont="1" applyBorder="1" applyAlignment="1">
      <alignment vertical="center"/>
    </xf>
    <xf numFmtId="0" fontId="0" fillId="0" borderId="0" xfId="0" applyAlignment="1">
      <alignment vertical="center"/>
    </xf>
    <xf numFmtId="0" fontId="1" fillId="0" borderId="1" xfId="0" applyFont="1" applyBorder="1" applyAlignment="1">
      <alignment horizontal="left" vertical="center" wrapText="1"/>
    </xf>
    <xf numFmtId="0" fontId="1" fillId="0" borderId="1" xfId="0" applyFont="1" applyBorder="1" applyAlignment="1">
      <alignment vertical="center"/>
    </xf>
    <xf numFmtId="0" fontId="1" fillId="0" borderId="1" xfId="0" applyFont="1" applyBorder="1" applyAlignment="1">
      <alignment horizontal="left" vertical="center"/>
    </xf>
    <xf numFmtId="0" fontId="0" fillId="0" borderId="0" xfId="0" applyAlignment="1">
      <alignment vertical="center" wrapText="1"/>
    </xf>
    <xf numFmtId="0" fontId="1" fillId="0" borderId="2" xfId="0" applyFont="1" applyBorder="1" applyAlignment="1">
      <alignment vertical="center" wrapText="1"/>
    </xf>
    <xf numFmtId="0" fontId="1" fillId="0" borderId="2" xfId="0" applyFont="1" applyBorder="1" applyAlignment="1">
      <alignment vertical="center"/>
    </xf>
    <xf numFmtId="0" fontId="2" fillId="0" borderId="0" xfId="0" applyFont="1" applyAlignment="1">
      <alignment vertical="center"/>
    </xf>
    <xf numFmtId="0" fontId="2" fillId="0" borderId="0" xfId="0" applyFon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0" fontId="0" fillId="0" borderId="8"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xf>
    <xf numFmtId="0" fontId="0" fillId="0" borderId="0" xfId="0" quotePrefix="1"/>
    <xf numFmtId="0" fontId="6" fillId="0" borderId="0" xfId="0" applyFont="1"/>
    <xf numFmtId="0" fontId="0" fillId="0" borderId="0" xfId="0" applyFont="1" applyFill="1"/>
    <xf numFmtId="0" fontId="6" fillId="0" borderId="0" xfId="0" quotePrefix="1" applyFont="1"/>
    <xf numFmtId="0" fontId="11" fillId="3" borderId="0" xfId="0" applyFont="1" applyFill="1"/>
    <xf numFmtId="0" fontId="9" fillId="4" borderId="0" xfId="0" applyFont="1" applyFill="1"/>
    <xf numFmtId="0" fontId="10" fillId="5" borderId="0" xfId="0" applyFont="1" applyFill="1"/>
    <xf numFmtId="0" fontId="1" fillId="0" borderId="2" xfId="0" applyFont="1" applyBorder="1" applyAlignment="1">
      <alignment wrapText="1"/>
    </xf>
    <xf numFmtId="0" fontId="0" fillId="0" borderId="0" xfId="0" applyBorder="1"/>
    <xf numFmtId="0" fontId="0" fillId="0" borderId="0" xfId="0" applyBorder="1" applyAlignment="1">
      <alignment vertical="center"/>
    </xf>
    <xf numFmtId="0" fontId="0" fillId="0" borderId="0" xfId="0" applyBorder="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5" fillId="0" borderId="1" xfId="0" applyFont="1" applyBorder="1" applyAlignment="1">
      <alignment horizontal="center" vertical="center"/>
    </xf>
    <xf numFmtId="0" fontId="0" fillId="0" borderId="1" xfId="0" applyBorder="1" applyAlignment="1">
      <alignment vertical="center"/>
    </xf>
    <xf numFmtId="0" fontId="1" fillId="0" borderId="5" xfId="0" applyFont="1" applyBorder="1" applyAlignment="1">
      <alignment horizontal="center" vertical="center"/>
    </xf>
    <xf numFmtId="0" fontId="1" fillId="0" borderId="0" xfId="0" applyFont="1" applyAlignment="1">
      <alignment vertical="center"/>
    </xf>
    <xf numFmtId="0" fontId="1" fillId="0" borderId="3" xfId="0" applyFont="1" applyBorder="1" applyAlignment="1">
      <alignment vertical="center"/>
    </xf>
    <xf numFmtId="0" fontId="0" fillId="0" borderId="0" xfId="0" applyFill="1" applyAlignment="1">
      <alignment horizontal="center" vertical="center"/>
    </xf>
    <xf numFmtId="0" fontId="0" fillId="0" borderId="0" xfId="0" applyFill="1" applyBorder="1" applyAlignment="1">
      <alignment vertical="center"/>
    </xf>
    <xf numFmtId="0" fontId="0" fillId="0" borderId="10" xfId="0" applyBorder="1"/>
    <xf numFmtId="0" fontId="0" fillId="0" borderId="11" xfId="0" applyBorder="1"/>
    <xf numFmtId="1" fontId="0" fillId="0" borderId="0" xfId="0" applyNumberFormat="1" applyAlignment="1">
      <alignment horizontal="center" vertical="center" wrapText="1"/>
    </xf>
    <xf numFmtId="0" fontId="0" fillId="0" borderId="0" xfId="0" applyAlignment="1">
      <alignment horizontal="center" vertical="center" wrapText="1"/>
    </xf>
    <xf numFmtId="0" fontId="0" fillId="2" borderId="0" xfId="0" applyFill="1" applyAlignment="1">
      <alignment vertical="center" wrapText="1"/>
    </xf>
    <xf numFmtId="0" fontId="3" fillId="0" borderId="0" xfId="1" applyAlignment="1" applyProtection="1">
      <alignment horizontal="center" vertical="center" wrapText="1"/>
    </xf>
    <xf numFmtId="0" fontId="3" fillId="0" borderId="0" xfId="1" applyBorder="1" applyAlignment="1" applyProtection="1">
      <alignment vertical="center" wrapText="1"/>
    </xf>
    <xf numFmtId="0" fontId="0" fillId="0" borderId="0" xfId="0" applyBorder="1" applyAlignment="1">
      <alignment horizontal="center" vertical="center" wrapText="1"/>
    </xf>
    <xf numFmtId="0" fontId="0" fillId="2" borderId="14" xfId="0" applyFill="1" applyBorder="1" applyAlignment="1">
      <alignment vertical="center" wrapText="1"/>
    </xf>
    <xf numFmtId="0" fontId="0" fillId="0" borderId="14" xfId="0" applyBorder="1" applyAlignment="1">
      <alignment vertical="center" wrapText="1"/>
    </xf>
    <xf numFmtId="0" fontId="3" fillId="0" borderId="14" xfId="1" applyBorder="1" applyAlignment="1" applyProtection="1">
      <alignment vertical="center" wrapText="1"/>
    </xf>
    <xf numFmtId="0" fontId="0" fillId="0" borderId="0" xfId="0" applyFill="1"/>
    <xf numFmtId="0" fontId="13" fillId="0" borderId="0" xfId="0" applyFont="1" applyFill="1"/>
    <xf numFmtId="0" fontId="14" fillId="0" borderId="0" xfId="0" applyFont="1" applyFill="1"/>
    <xf numFmtId="0" fontId="14" fillId="0" borderId="0" xfId="0" quotePrefix="1" applyFont="1"/>
    <xf numFmtId="0" fontId="0" fillId="0" borderId="12" xfId="0" applyBorder="1" applyAlignment="1">
      <alignment horizontal="center"/>
    </xf>
    <xf numFmtId="0" fontId="0" fillId="0" borderId="13" xfId="0" applyBorder="1" applyAlignment="1">
      <alignment horizontal="center"/>
    </xf>
    <xf numFmtId="0" fontId="1" fillId="0" borderId="5" xfId="0" applyFont="1" applyBorder="1" applyAlignment="1">
      <alignment horizontal="center"/>
    </xf>
    <xf numFmtId="0" fontId="0" fillId="0" borderId="7"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0" fontId="0" fillId="0" borderId="0" xfId="0" applyAlignment="1">
      <alignment horizontal="left" vertical="center"/>
    </xf>
    <xf numFmtId="0" fontId="0" fillId="0" borderId="9" xfId="0" applyBorder="1" applyAlignment="1">
      <alignment horizontal="left" vertical="center"/>
    </xf>
    <xf numFmtId="0" fontId="0" fillId="0" borderId="1" xfId="0" applyBorder="1" applyAlignment="1">
      <alignment horizontal="left" vertical="center"/>
    </xf>
    <xf numFmtId="0" fontId="5" fillId="0" borderId="1" xfId="0" applyFont="1" applyBorder="1" applyAlignment="1">
      <alignment horizontal="center" vertical="center"/>
    </xf>
    <xf numFmtId="0" fontId="0" fillId="0" borderId="1"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8" xfId="0" applyBorder="1" applyAlignment="1">
      <alignment horizontal="left"/>
    </xf>
  </cellXfs>
  <cellStyles count="2">
    <cellStyle name="Hyperlink" xfId="1" builtinId="8"/>
    <cellStyle name="Normal" xfId="0" builtinId="0"/>
  </cellStyles>
  <dxfs count="55">
    <dxf>
      <alignment horizontal="general" vertical="bottom"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border diagonalUp="0" diagonalDown="0" outline="0">
        <left/>
        <right style="thin">
          <color indexed="64"/>
        </right>
        <top/>
        <bottom/>
      </border>
    </dxf>
    <dxf>
      <alignment vertical="center" textRotation="0" wrapText="1" indent="0" justifyLastLine="0" shrinkToFit="0" readingOrder="0"/>
      <border diagonalUp="0" diagonalDown="0">
        <left/>
        <right style="thin">
          <color auto="1"/>
        </right>
        <top/>
        <bottom/>
        <vertical/>
        <horizontal/>
      </border>
    </dxf>
    <dxf>
      <border diagonalUp="0" diagonalDown="0" outline="0">
        <left/>
        <right/>
        <top/>
        <bottom/>
      </border>
      <protection locked="1" hidden="0"/>
    </dxf>
    <dxf>
      <alignment vertical="center" textRotation="0" wrapText="1" indent="0" justifyLastLine="0" shrinkToFit="0" readingOrder="0"/>
      <protection locked="1" hidden="0"/>
    </dxf>
    <dxf>
      <alignment vertical="center" textRotation="0" wrapText="1"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border outline="0">
        <right style="thin">
          <color indexed="64"/>
        </right>
        <bottom style="thin">
          <color indexed="64"/>
        </bottom>
      </border>
    </dxf>
    <dxf>
      <alignment vertical="center" textRotation="0" wrapText="1" indent="0" justifyLastLine="0" shrinkToFit="0" readingOrder="0"/>
    </dxf>
    <dxf>
      <fill>
        <patternFill>
          <bgColor rgb="FFFF0000"/>
        </patternFill>
      </fill>
      <border>
        <right style="thin">
          <color auto="1"/>
        </right>
      </border>
    </dxf>
    <dxf>
      <fill>
        <patternFill>
          <bgColor rgb="FF92D050"/>
        </patternFill>
      </fill>
      <border>
        <right style="thin">
          <color auto="1"/>
        </right>
      </border>
    </dxf>
    <dxf>
      <fill>
        <patternFill>
          <bgColor theme="7"/>
        </patternFill>
      </fill>
      <border>
        <right style="thin">
          <color auto="1"/>
        </right>
      </border>
    </dxf>
    <dxf>
      <fill>
        <patternFill>
          <bgColor rgb="FFFF0000"/>
        </patternFill>
      </fill>
      <border>
        <right style="thin">
          <color auto="1"/>
        </right>
      </border>
    </dxf>
    <dxf>
      <fill>
        <patternFill>
          <bgColor rgb="FF92D050"/>
        </patternFill>
      </fill>
      <border>
        <right style="thin">
          <color auto="1"/>
        </right>
      </border>
    </dxf>
    <dxf>
      <fill>
        <patternFill patternType="none">
          <bgColor auto="1"/>
        </patternFill>
      </fill>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vertical="center" textRotation="0" wrapText="1" indent="0" justifyLastLine="0" shrinkToFit="0" readingOrder="0"/>
    </dxf>
    <dxf>
      <alignment horizontal="center" vertical="center" textRotation="0" wrapText="1" indent="0" justifyLastLine="0" shrinkToFit="0" readingOrder="0"/>
      <protection locked="1" hidden="0"/>
    </dxf>
    <dxf>
      <numFmt numFmtId="0" formatCode="General"/>
      <alignment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border outline="0">
        <top style="thin">
          <color rgb="FF000000"/>
        </top>
      </border>
    </dxf>
    <dxf>
      <alignment vertical="center" textRotation="0" wrapText="1" indent="0" justifyLastLine="0" shrinkToFit="0" readingOrder="0"/>
      <protection locked="1" hidden="0"/>
    </dxf>
    <dxf>
      <border outline="0">
        <bottom style="thin">
          <color rgb="FF000000"/>
        </bottom>
      </border>
    </dxf>
    <dxf>
      <protection locked="1" hidden="0"/>
    </dxf>
    <dxf>
      <fill>
        <patternFill>
          <bgColor rgb="FFFF0000"/>
        </patternFill>
      </fill>
      <border>
        <right style="thin">
          <color auto="1"/>
        </right>
      </border>
    </dxf>
    <dxf>
      <fill>
        <patternFill>
          <bgColor rgb="FF92D050"/>
        </patternFill>
      </fill>
      <border>
        <right style="thin">
          <color auto="1"/>
        </right>
      </border>
    </dxf>
    <dxf>
      <fill>
        <patternFill>
          <bgColor theme="7"/>
        </patternFill>
      </fill>
      <border>
        <right style="thin">
          <color auto="1"/>
        </right>
      </border>
    </dxf>
    <dxf>
      <fill>
        <patternFill>
          <bgColor rgb="FFFF0000"/>
        </patternFill>
      </fill>
      <border>
        <right style="thin">
          <color auto="1"/>
        </right>
      </border>
    </dxf>
    <dxf>
      <fill>
        <patternFill>
          <bgColor rgb="FF92D050"/>
        </patternFill>
      </fill>
      <border>
        <right style="thin">
          <color auto="1"/>
        </right>
      </border>
    </dxf>
    <dxf>
      <fill>
        <patternFill>
          <bgColor rgb="FFFF0000"/>
        </patternFill>
      </fill>
    </dxf>
    <dxf>
      <fill>
        <patternFill>
          <bgColor rgb="FF92D050"/>
        </patternFill>
      </fill>
    </dxf>
    <dxf>
      <fill>
        <patternFill>
          <bgColor theme="7"/>
        </patternFill>
      </fill>
    </dxf>
    <dxf>
      <fill>
        <patternFill patternType="none">
          <bgColor auto="1"/>
        </patternFill>
      </fill>
    </dxf>
    <dxf>
      <border diagonalUp="0" diagonalDown="0" outline="0">
        <left/>
        <right/>
        <top/>
        <bottom/>
      </border>
    </dxf>
    <dxf>
      <border diagonalUp="0" diagonalDown="0">
        <left/>
        <right style="thin">
          <color auto="1"/>
        </right>
        <top/>
        <bottom/>
        <vertical/>
        <horizontal/>
      </border>
    </dxf>
    <dxf>
      <border diagonalUp="0" diagonalDown="0" outline="0">
        <left/>
        <right style="thin">
          <color indexed="64"/>
        </right>
        <top style="medium">
          <color indexed="64"/>
        </top>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9C0006"/>
        <name val="Calibri"/>
        <family val="2"/>
        <scheme val="minor"/>
      </font>
      <fill>
        <patternFill patternType="solid">
          <fgColor indexed="64"/>
          <bgColor rgb="FFFFC7CE"/>
        </patternFill>
      </fill>
    </dxf>
    <dxf>
      <font>
        <b val="0"/>
        <i val="0"/>
        <strike val="0"/>
        <condense val="0"/>
        <extend val="0"/>
        <outline val="0"/>
        <shadow val="0"/>
        <u val="none"/>
        <vertAlign val="baseline"/>
        <sz val="11"/>
        <color rgb="FF006100"/>
        <name val="Calibri"/>
        <family val="2"/>
        <scheme val="minor"/>
      </font>
      <fill>
        <patternFill patternType="solid">
          <fgColor indexed="64"/>
          <bgColor rgb="FFC6EFCE"/>
        </patternFill>
      </fill>
    </dxf>
    <dxf>
      <font>
        <b val="0"/>
        <i val="0"/>
        <strike val="0"/>
        <condense val="0"/>
        <extend val="0"/>
        <outline val="0"/>
        <shadow val="0"/>
        <u val="none"/>
        <vertAlign val="baseline"/>
        <sz val="11"/>
        <color rgb="FF9C0006"/>
        <name val="Calibri"/>
        <family val="2"/>
        <scheme val="minor"/>
      </font>
      <fill>
        <patternFill patternType="solid">
          <fgColor indexed="64"/>
          <bgColor rgb="FFFFC7CE"/>
        </patternFill>
      </fill>
    </dxf>
    <dxf>
      <font>
        <b val="0"/>
        <i val="0"/>
        <strike val="0"/>
        <condense val="0"/>
        <extend val="0"/>
        <outline val="0"/>
        <shadow val="0"/>
        <u val="none"/>
        <vertAlign val="baseline"/>
        <sz val="11"/>
        <color rgb="FF006100"/>
        <name val="Calibri"/>
        <family val="2"/>
        <scheme val="minor"/>
      </font>
      <fill>
        <patternFill patternType="solid">
          <fgColor indexed="64"/>
          <bgColor rgb="FFC6EFCE"/>
        </patternFill>
      </fill>
    </dxf>
    <dxf>
      <font>
        <b val="0"/>
        <i val="0"/>
        <strike val="0"/>
        <condense val="0"/>
        <extend val="0"/>
        <outline val="0"/>
        <shadow val="0"/>
        <u val="none"/>
        <vertAlign val="baseline"/>
        <sz val="11"/>
        <color rgb="FF9C5700"/>
        <name val="Calibri"/>
        <family val="2"/>
        <scheme val="minor"/>
      </font>
      <fill>
        <patternFill patternType="solid">
          <fgColor indexed="64"/>
          <bgColor rgb="FFFFEB9C"/>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4</xdr:row>
          <xdr:rowOff>142875</xdr:rowOff>
        </xdr:from>
        <xdr:to>
          <xdr:col>4</xdr:col>
          <xdr:colOff>438150</xdr:colOff>
          <xdr:row>5</xdr:row>
          <xdr:rowOff>85725</xdr:rowOff>
        </xdr:to>
        <xdr:sp macro="" textlink="">
          <xdr:nvSpPr>
            <xdr:cNvPr id="4100" name="DeleteBtn"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600075</xdr:colOff>
          <xdr:row>1</xdr:row>
          <xdr:rowOff>0</xdr:rowOff>
        </xdr:from>
        <xdr:to>
          <xdr:col>8</xdr:col>
          <xdr:colOff>0</xdr:colOff>
          <xdr:row>5</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ALL </a:t>
              </a:r>
            </a:p>
            <a:p>
              <a:pPr algn="ctr" rtl="0">
                <a:defRPr sz="1000"/>
              </a:pPr>
              <a:r>
                <a:rPr lang="en-US" sz="1100" b="0" i="0" u="none" strike="noStrike" baseline="0">
                  <a:solidFill>
                    <a:srgbClr val="000000"/>
                  </a:solidFill>
                  <a:latin typeface="Calibri"/>
                  <a:cs typeface="Calibri"/>
                </a:rPr>
                <a:t>Manual Test Statuses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0</xdr:rowOff>
        </xdr:from>
        <xdr:to>
          <xdr:col>5</xdr:col>
          <xdr:colOff>19050</xdr:colOff>
          <xdr:row>5</xdr:row>
          <xdr:rowOff>142875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a:t>
              </a:r>
            </a:p>
            <a:p>
              <a:pPr algn="ctr" rtl="0">
                <a:defRPr sz="1000"/>
              </a:pPr>
              <a:r>
                <a:rPr lang="en-US" sz="1100" b="0" i="0" u="none" strike="noStrike" baseline="0">
                  <a:solidFill>
                    <a:srgbClr val="000000"/>
                  </a:solidFill>
                  <a:latin typeface="Calibri"/>
                  <a:cs typeface="Calibri"/>
                </a:rPr>
                <a:t>Test Module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19050</xdr:rowOff>
        </xdr:from>
        <xdr:to>
          <xdr:col>1</xdr:col>
          <xdr:colOff>180975</xdr:colOff>
          <xdr:row>6</xdr:row>
          <xdr:rowOff>161925</xdr:rowOff>
        </xdr:to>
        <xdr:sp macro="" textlink="">
          <xdr:nvSpPr>
            <xdr:cNvPr id="16401" name="1"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1</xdr:row>
          <xdr:rowOff>123825</xdr:rowOff>
        </xdr:from>
        <xdr:to>
          <xdr:col>3</xdr:col>
          <xdr:colOff>647700</xdr:colOff>
          <xdr:row>2</xdr:row>
          <xdr:rowOff>57150</xdr:rowOff>
        </xdr:to>
        <xdr:sp macro="" textlink="">
          <xdr:nvSpPr>
            <xdr:cNvPr id="16397" name="DeleteBtn"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0</xdr:row>
          <xdr:rowOff>76200</xdr:rowOff>
        </xdr:from>
        <xdr:to>
          <xdr:col>4</xdr:col>
          <xdr:colOff>695325</xdr:colOff>
          <xdr:row>2</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Overview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7</xdr:row>
          <xdr:rowOff>123825</xdr:rowOff>
        </xdr:from>
        <xdr:to>
          <xdr:col>1</xdr:col>
          <xdr:colOff>885825</xdr:colOff>
          <xdr:row>10</xdr:row>
          <xdr:rowOff>9525</xdr:rowOff>
        </xdr:to>
        <xdr:sp macro="" textlink="">
          <xdr:nvSpPr>
            <xdr:cNvPr id="16388" name="AddNewTestCaseButton"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New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857250</xdr:colOff>
          <xdr:row>0</xdr:row>
          <xdr:rowOff>76200</xdr:rowOff>
        </xdr:from>
        <xdr:to>
          <xdr:col>7</xdr:col>
          <xdr:colOff>19050</xdr:colOff>
          <xdr:row>2</xdr:row>
          <xdr:rowOff>133350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All Manual Test Statuses in this Test Module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1466850</xdr:colOff>
          <xdr:row>0</xdr:row>
          <xdr:rowOff>66675</xdr:rowOff>
        </xdr:from>
        <xdr:to>
          <xdr:col>6</xdr:col>
          <xdr:colOff>3238500</xdr:colOff>
          <xdr:row>2</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All Manual Test Statuses in this Test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0</xdr:row>
          <xdr:rowOff>66675</xdr:rowOff>
        </xdr:from>
        <xdr:to>
          <xdr:col>6</xdr:col>
          <xdr:colOff>1314450</xdr:colOff>
          <xdr:row>2</xdr:row>
          <xdr:rowOff>142875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Overview Tab</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CB546C-A5CF-4C24-82EC-EA8411CDCB8B}" name="TestStatusSummaryTable" displayName="TestStatusSummaryTable" ref="J3:N5" insertRow="1" totalsRowCount="1">
  <autoFilter ref="J3:N4" xr:uid="{C1CB546C-A5CF-4C24-82EC-EA8411CDCB8B}"/>
  <sortState xmlns:xlrd2="http://schemas.microsoft.com/office/spreadsheetml/2017/richdata2" ref="J4:N4">
    <sortCondition ref="J3:J4"/>
  </sortState>
  <tableColumns count="5">
    <tableColumn id="1" xr3:uid="{73C0BC3E-546A-4EFC-9947-340123274BDB}" name="Test Module" totalsRowLabel="Total"/>
    <tableColumn id="5" xr3:uid="{796E1E0D-5114-4AE2-97AD-E8E675943703}" name="Abbr"/>
    <tableColumn id="2" xr3:uid="{2F8C90D4-0E9A-49C5-A62F-6FD3B37E3C82}" name="Not Tested" totalsRowFunction="sum" totalsRowDxfId="54"/>
    <tableColumn id="3" xr3:uid="{367D65ED-F3CC-474B-8E26-E8B7147AFC8E}" name="Passed" totalsRowFunction="sum" totalsRowDxfId="53"/>
    <tableColumn id="4" xr3:uid="{63143C9F-A5D9-4560-925B-474630A87939}" name="Failed" totalsRowFunction="sum" totalsRowDxfId="5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6A785-40D5-4511-AA06-F6C680FF84CB}" name="UnitTestStatusSummaryTable" displayName="UnitTestStatusSummaryTable" ref="P3:S5" insertRow="1" totalsRowCount="1">
  <autoFilter ref="P3:S4" xr:uid="{F986A785-40D5-4511-AA06-F6C680FF84CB}"/>
  <sortState xmlns:xlrd2="http://schemas.microsoft.com/office/spreadsheetml/2017/richdata2" ref="P3:S4">
    <sortCondition ref="P3"/>
  </sortState>
  <tableColumns count="4">
    <tableColumn id="1" xr3:uid="{1D41AA34-84DE-4FEF-A58E-144ACF7FF6E6}" name="Test Module" totalsRowLabel="Total"/>
    <tableColumn id="3" xr3:uid="{A7C1724F-172D-4D4B-A232-90DC3E0151EF}" name="Abbr"/>
    <tableColumn id="2" xr3:uid="{A2E5BC3A-23F2-4A4E-876B-CEF54E8AB465}" name="Written" totalsRowFunction="sum" totalsRowDxfId="51"/>
    <tableColumn id="4" xr3:uid="{30B019A3-B72D-4B8D-8409-1CE44946A5B0}" name="Not Written" totalsRowFunction="sum" totalsRowDxfId="5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6FA2EEA-BFFF-45F0-AD32-FFBDBFD04ADE}" name="TableDetails" displayName="TableDetails" ref="A2:B6" headerRowCount="0" totalsRowShown="0" tableBorderDxfId="49">
  <tableColumns count="2">
    <tableColumn id="1" xr3:uid="{ED8189FF-3B65-4C4F-A85D-6454A4DC3EF6}" name="Column1" headerRowDxfId="48" dataDxfId="47"/>
    <tableColumn id="2" xr3:uid="{B09123D7-80B3-47FB-93B8-B8ACF9227B4A}" name="Column2" headerRowDxfId="46"/>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A9D43C3-1DFF-495B-8AA2-BAFE2E88721B}" name="TestCasesTable" displayName="TestCasesTable" ref="A6:J7" totalsRowShown="0" headerRowDxfId="36" dataDxfId="34" headerRowBorderDxfId="35" tableBorderDxfId="33">
  <autoFilter ref="A6:J7" xr:uid="{EA09A48C-A9B0-4D64-8500-655CF89DEC92}"/>
  <sortState xmlns:xlrd2="http://schemas.microsoft.com/office/spreadsheetml/2017/richdata2" ref="A7:J7">
    <sortCondition ref="A6:A7"/>
  </sortState>
  <tableColumns count="10">
    <tableColumn id="1" xr3:uid="{242F900A-414A-4619-A41D-5276143E722B}" name="Index" dataDxfId="32"/>
    <tableColumn id="2" xr3:uid="{CC298942-FD48-4725-8A3C-710EC042BE19}" name="Test ID" dataDxfId="31">
      <calculatedColumnFormula>_xlfn.CONCAT($C$2,".",A7)</calculatedColumnFormula>
    </tableColumn>
    <tableColumn id="3" xr3:uid="{97EC29A5-6953-4007-8141-243EA6459C22}" name="Description" dataDxfId="30"/>
    <tableColumn id="4" xr3:uid="{9AA82F71-006A-41A2-8EFF-5C9721205598}" name="Tester" dataDxfId="29"/>
    <tableColumn id="10" xr3:uid="{874D0B46-8006-4FED-AD28-1E57734EB93B}" name="Type" dataDxfId="28"/>
    <tableColumn id="5" xr3:uid="{661CB16E-6674-435F-B29A-D0BE1B2E1D7B}" name="Status" dataDxfId="27"/>
    <tableColumn id="6" xr3:uid="{72CE1794-A6FC-4617-AAAD-B06102C986EC}" name="Link to Steps" dataDxfId="26">
      <calculatedColumnFormula>HYPERLINK("#"&amp;$C$3&amp;"!B"&amp;(MATCH(B7,INDIRECT(_xlfn.CONCAT($C$3,"!$B:$B")),0)),"Link")</calculatedColumnFormula>
    </tableColumn>
    <tableColumn id="8" xr3:uid="{AC4D693C-4EE3-4CB1-ACBF-6800973F0A6B}" name="Jira ID" dataDxfId="25"/>
    <tableColumn id="9" xr3:uid="{CFD3AFD1-8DA8-4A62-81AD-48AE149794C1}" name="Notes" dataDxfId="24"/>
    <tableColumn id="7" xr3:uid="{9157F343-6848-4EF9-878F-694B4E988C42}" name="Project Spec Reference" dataDxfId="23"/>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8040A7-77D9-41A9-A3F4-A9EDA32A219F}" name="TestStepsTable" displayName="TestStepsTable" ref="A5:H10" totalsRowShown="0" dataDxfId="16" tableBorderDxfId="15">
  <autoFilter ref="A5:H10" xr:uid="{E88040A7-77D9-41A9-A3F4-A9EDA32A219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E9BE544-A9A2-4CBA-BD55-2453C2D4999D}" name="Index" dataDxfId="14" totalsRowDxfId="13"/>
    <tableColumn id="2" xr3:uid="{9F055898-AAC8-4638-B7B5-F8AF095D0E7C}" name="Test ID" dataDxfId="12"/>
    <tableColumn id="3" xr3:uid="{08C1FA08-0EED-4179-BB4F-92BAFB3F5C62}" name="Link" dataDxfId="11" totalsRowDxfId="10" dataCellStyle="Hyperlink" totalsRowCellStyle="Hyperlink"/>
    <tableColumn id="4" xr3:uid="{728A83B0-3F4D-4B6F-A0CE-174A9DA4F2A9}" name="Status" dataDxfId="9" totalsRowDxfId="8"/>
    <tableColumn id="5" xr3:uid="{050014D3-DBCB-47DA-9EBA-966A2C7B8048}" name="Step" dataDxfId="7" totalsRowDxfId="6"/>
    <tableColumn id="6" xr3:uid="{AAC84595-E776-47DA-A6E7-4E7B26C02333}" name="Description" dataDxfId="5" totalsRowDxfId="4"/>
    <tableColumn id="7" xr3:uid="{EF3D8120-ED68-4E93-988E-4020C2B77253}" name="Expected Result" dataDxfId="3" totalsRowDxfId="2"/>
    <tableColumn id="8" xr3:uid="{FBA6A37A-DFAD-4590-B59F-CFEAB6A12107}" name="Actual Result / Notes" dataDxfId="1" totalsRowDxfId="0"/>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7876A-75B6-40AF-ABC2-B13AEF4E932A}">
  <sheetPr codeName="Sheet4"/>
  <dimension ref="A1:S55"/>
  <sheetViews>
    <sheetView tabSelected="1" zoomScale="110" zoomScaleNormal="110" workbookViewId="0">
      <selection activeCell="E54" sqref="E54"/>
    </sheetView>
  </sheetViews>
  <sheetFormatPr defaultRowHeight="15" x14ac:dyDescent="0.25"/>
  <cols>
    <col min="1" max="1" width="17.28515625" bestFit="1" customWidth="1"/>
    <col min="2" max="2" width="21.42578125" customWidth="1"/>
    <col min="10" max="10" width="14.42578125" bestFit="1" customWidth="1"/>
    <col min="11" max="11" width="7.85546875" bestFit="1" customWidth="1"/>
    <col min="12" max="12" width="13.28515625" bestFit="1" customWidth="1"/>
    <col min="13" max="13" width="9.5703125" bestFit="1" customWidth="1"/>
    <col min="14" max="14" width="8.7109375" bestFit="1" customWidth="1"/>
    <col min="15" max="15" width="6.42578125" customWidth="1"/>
    <col min="16" max="16" width="14.42578125" bestFit="1" customWidth="1"/>
    <col min="17" max="17" width="7.85546875" bestFit="1" customWidth="1"/>
    <col min="18" max="18" width="10.5703125" bestFit="1" customWidth="1"/>
    <col min="19" max="19" width="14.42578125" bestFit="1" customWidth="1"/>
  </cols>
  <sheetData>
    <row r="1" spans="1:19" ht="15.75" thickBot="1" x14ac:dyDescent="0.3">
      <c r="A1" s="54" t="s">
        <v>0</v>
      </c>
      <c r="B1" s="55"/>
    </row>
    <row r="2" spans="1:19" x14ac:dyDescent="0.25">
      <c r="A2" s="40" t="s">
        <v>1</v>
      </c>
      <c r="B2" s="27"/>
      <c r="J2" s="56" t="s">
        <v>83</v>
      </c>
      <c r="K2" s="56"/>
      <c r="L2" s="56"/>
      <c r="M2" s="56"/>
      <c r="N2" s="56"/>
      <c r="P2" s="56" t="s">
        <v>84</v>
      </c>
      <c r="Q2" s="56"/>
      <c r="R2" s="56"/>
      <c r="S2" s="56"/>
    </row>
    <row r="3" spans="1:19" x14ac:dyDescent="0.25">
      <c r="A3" s="39" t="s">
        <v>2</v>
      </c>
      <c r="B3" s="27"/>
      <c r="J3" t="s">
        <v>62</v>
      </c>
      <c r="K3" t="s">
        <v>88</v>
      </c>
      <c r="L3" t="s">
        <v>63</v>
      </c>
      <c r="M3" t="s">
        <v>32</v>
      </c>
      <c r="N3" t="s">
        <v>33</v>
      </c>
      <c r="P3" t="s">
        <v>62</v>
      </c>
      <c r="Q3" t="s">
        <v>88</v>
      </c>
      <c r="R3" t="s">
        <v>77</v>
      </c>
      <c r="S3" t="s">
        <v>85</v>
      </c>
    </row>
    <row r="4" spans="1:19" x14ac:dyDescent="0.25">
      <c r="A4" s="39" t="s">
        <v>3</v>
      </c>
      <c r="B4" s="27"/>
    </row>
    <row r="5" spans="1:19" x14ac:dyDescent="0.25">
      <c r="A5" s="39" t="s">
        <v>4</v>
      </c>
      <c r="B5" s="27"/>
      <c r="J5" t="s">
        <v>64</v>
      </c>
      <c r="L5" s="23">
        <f>SUBTOTAL(109,TestStatusSummaryTable[Not Tested])</f>
        <v>0</v>
      </c>
      <c r="M5" s="24">
        <f>SUBTOTAL(109,TestStatusSummaryTable[Passed])</f>
        <v>0</v>
      </c>
      <c r="N5" s="25">
        <f>SUBTOTAL(109,TestStatusSummaryTable[Failed])</f>
        <v>0</v>
      </c>
      <c r="P5" t="s">
        <v>64</v>
      </c>
      <c r="R5" s="24">
        <f>SUBTOTAL(109,UnitTestStatusSummaryTable[Written])</f>
        <v>0</v>
      </c>
      <c r="S5" s="25">
        <f>SUBTOTAL(109,UnitTestStatusSummaryTable[Not Written])</f>
        <v>0</v>
      </c>
    </row>
    <row r="6" spans="1:19" x14ac:dyDescent="0.25">
      <c r="A6" s="39" t="s">
        <v>65</v>
      </c>
      <c r="B6" s="27"/>
    </row>
    <row r="9" spans="1:19" x14ac:dyDescent="0.25">
      <c r="A9" s="20" t="s">
        <v>5</v>
      </c>
    </row>
    <row r="10" spans="1:19" x14ac:dyDescent="0.25">
      <c r="A10" t="s">
        <v>6</v>
      </c>
    </row>
    <row r="11" spans="1:19" x14ac:dyDescent="0.25">
      <c r="A11" s="19" t="s">
        <v>43</v>
      </c>
    </row>
    <row r="12" spans="1:19" x14ac:dyDescent="0.25">
      <c r="A12" s="19" t="s">
        <v>44</v>
      </c>
    </row>
    <row r="13" spans="1:19" x14ac:dyDescent="0.25">
      <c r="A13" t="s">
        <v>42</v>
      </c>
    </row>
    <row r="14" spans="1:19" x14ac:dyDescent="0.25">
      <c r="A14" t="s">
        <v>41</v>
      </c>
    </row>
    <row r="15" spans="1:19" x14ac:dyDescent="0.25">
      <c r="A15" t="s">
        <v>46</v>
      </c>
    </row>
    <row r="16" spans="1:19" x14ac:dyDescent="0.25">
      <c r="A16" t="s">
        <v>47</v>
      </c>
    </row>
    <row r="18" spans="1:1" x14ac:dyDescent="0.25">
      <c r="A18" s="20" t="s">
        <v>45</v>
      </c>
    </row>
    <row r="19" spans="1:1" x14ac:dyDescent="0.25">
      <c r="A19" t="s">
        <v>7</v>
      </c>
    </row>
    <row r="20" spans="1:1" x14ac:dyDescent="0.25">
      <c r="A20" t="s">
        <v>52</v>
      </c>
    </row>
    <row r="21" spans="1:1" x14ac:dyDescent="0.25">
      <c r="A21" t="s">
        <v>53</v>
      </c>
    </row>
    <row r="23" spans="1:1" x14ac:dyDescent="0.25">
      <c r="A23" s="20" t="s">
        <v>49</v>
      </c>
    </row>
    <row r="24" spans="1:1" x14ac:dyDescent="0.25">
      <c r="A24" s="21" t="s">
        <v>60</v>
      </c>
    </row>
    <row r="25" spans="1:1" x14ac:dyDescent="0.25">
      <c r="A25" s="21" t="s">
        <v>54</v>
      </c>
    </row>
    <row r="26" spans="1:1" x14ac:dyDescent="0.25">
      <c r="A26" s="21" t="s">
        <v>68</v>
      </c>
    </row>
    <row r="27" spans="1:1" x14ac:dyDescent="0.25">
      <c r="A27" t="s">
        <v>72</v>
      </c>
    </row>
    <row r="28" spans="1:1" x14ac:dyDescent="0.25">
      <c r="A28" t="s">
        <v>82</v>
      </c>
    </row>
    <row r="29" spans="1:1" x14ac:dyDescent="0.25">
      <c r="A29" t="s">
        <v>58</v>
      </c>
    </row>
    <row r="30" spans="1:1" x14ac:dyDescent="0.25">
      <c r="A30" s="50" t="s">
        <v>89</v>
      </c>
    </row>
    <row r="31" spans="1:1" x14ac:dyDescent="0.25">
      <c r="A31" t="s">
        <v>55</v>
      </c>
    </row>
    <row r="33" spans="1:1" x14ac:dyDescent="0.25">
      <c r="A33" s="20" t="s">
        <v>56</v>
      </c>
    </row>
    <row r="34" spans="1:1" x14ac:dyDescent="0.25">
      <c r="A34" s="19" t="s">
        <v>57</v>
      </c>
    </row>
    <row r="35" spans="1:1" x14ac:dyDescent="0.25">
      <c r="A35" s="19" t="s">
        <v>50</v>
      </c>
    </row>
    <row r="36" spans="1:1" x14ac:dyDescent="0.25">
      <c r="A36" s="19" t="s">
        <v>74</v>
      </c>
    </row>
    <row r="37" spans="1:1" x14ac:dyDescent="0.25">
      <c r="A37" s="19" t="s">
        <v>87</v>
      </c>
    </row>
    <row r="38" spans="1:1" x14ac:dyDescent="0.25">
      <c r="A38" s="19"/>
    </row>
    <row r="39" spans="1:1" x14ac:dyDescent="0.25">
      <c r="A39" s="22" t="s">
        <v>59</v>
      </c>
    </row>
    <row r="40" spans="1:1" x14ac:dyDescent="0.25">
      <c r="A40" s="19" t="s">
        <v>61</v>
      </c>
    </row>
    <row r="41" spans="1:1" x14ac:dyDescent="0.25">
      <c r="A41" s="19" t="s">
        <v>67</v>
      </c>
    </row>
    <row r="42" spans="1:1" x14ac:dyDescent="0.25">
      <c r="A42" t="s">
        <v>51</v>
      </c>
    </row>
    <row r="43" spans="1:1" x14ac:dyDescent="0.25">
      <c r="A43" t="s">
        <v>48</v>
      </c>
    </row>
    <row r="44" spans="1:1" x14ac:dyDescent="0.25">
      <c r="A44" s="19" t="s">
        <v>69</v>
      </c>
    </row>
    <row r="46" spans="1:1" x14ac:dyDescent="0.25">
      <c r="A46" s="51" t="s">
        <v>90</v>
      </c>
    </row>
    <row r="47" spans="1:1" x14ac:dyDescent="0.25">
      <c r="A47" s="52" t="s">
        <v>94</v>
      </c>
    </row>
    <row r="48" spans="1:1" x14ac:dyDescent="0.25">
      <c r="A48" s="53" t="s">
        <v>91</v>
      </c>
    </row>
    <row r="49" spans="1:1" x14ac:dyDescent="0.25">
      <c r="A49" s="53" t="s">
        <v>92</v>
      </c>
    </row>
    <row r="50" spans="1:1" x14ac:dyDescent="0.25">
      <c r="A50" s="53" t="s">
        <v>93</v>
      </c>
    </row>
    <row r="51" spans="1:1" x14ac:dyDescent="0.25">
      <c r="A51" s="53" t="s">
        <v>95</v>
      </c>
    </row>
    <row r="52" spans="1:1" x14ac:dyDescent="0.25">
      <c r="A52" s="53" t="s">
        <v>96</v>
      </c>
    </row>
    <row r="53" spans="1:1" x14ac:dyDescent="0.25">
      <c r="A53" s="53" t="s">
        <v>97</v>
      </c>
    </row>
    <row r="55" spans="1:1" x14ac:dyDescent="0.25">
      <c r="A55" s="19"/>
    </row>
  </sheetData>
  <mergeCells count="3">
    <mergeCell ref="A1:B1"/>
    <mergeCell ref="P2:S2"/>
    <mergeCell ref="J2:N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DeleteBtn">
              <controlPr defaultSize="0" print="0" autoFill="0" autoPict="0" macro="[0]!DeleteTestModule">
                <anchor moveWithCells="1" sizeWithCells="1">
                  <from>
                    <xdr:col>4</xdr:col>
                    <xdr:colOff>323850</xdr:colOff>
                    <xdr:row>4</xdr:row>
                    <xdr:rowOff>142875</xdr:rowOff>
                  </from>
                  <to>
                    <xdr:col>4</xdr:col>
                    <xdr:colOff>438150</xdr:colOff>
                    <xdr:row>5</xdr:row>
                    <xdr:rowOff>85725</xdr:rowOff>
                  </to>
                </anchor>
              </controlPr>
            </control>
          </mc:Choice>
        </mc:AlternateContent>
        <mc:AlternateContent xmlns:mc="http://schemas.openxmlformats.org/markup-compatibility/2006">
          <mc:Choice Requires="x14">
            <control shapeId="4097" r:id="rId5" name="Button 1">
              <controlPr defaultSize="0" print="0" autoFill="0" autoPict="0" macro="[0]!ResetALLTestModules">
                <anchor moveWithCells="1" sizeWithCells="1">
                  <from>
                    <xdr:col>5</xdr:col>
                    <xdr:colOff>600075</xdr:colOff>
                    <xdr:row>1</xdr:row>
                    <xdr:rowOff>0</xdr:rowOff>
                  </from>
                  <to>
                    <xdr:col>8</xdr:col>
                    <xdr:colOff>0</xdr:colOff>
                    <xdr:row>5</xdr:row>
                    <xdr:rowOff>142875</xdr:rowOff>
                  </to>
                </anchor>
              </controlPr>
            </control>
          </mc:Choice>
        </mc:AlternateContent>
        <mc:AlternateContent xmlns:mc="http://schemas.openxmlformats.org/markup-compatibility/2006">
          <mc:Choice Requires="x14">
            <control shapeId="4098" r:id="rId6" name="Button 2">
              <controlPr defaultSize="0" print="0" autoFill="0" autoPict="0" macro="[0]!NewTestModule">
                <anchor moveWithCells="1" sizeWithCells="1">
                  <from>
                    <xdr:col>3</xdr:col>
                    <xdr:colOff>9525</xdr:colOff>
                    <xdr:row>1</xdr:row>
                    <xdr:rowOff>0</xdr:rowOff>
                  </from>
                  <to>
                    <xdr:col>5</xdr:col>
                    <xdr:colOff>19050</xdr:colOff>
                    <xdr:row>5</xdr:row>
                    <xdr:rowOff>142875</xdr:rowOff>
                  </to>
                </anchor>
              </controlPr>
            </control>
          </mc:Choice>
        </mc:AlternateContent>
      </controls>
    </mc:Choice>
  </mc:AlternateContent>
  <tableParts count="3">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6C074-EE9D-4A91-A3A2-2024AE0FC7A7}">
  <sheetPr codeName="Sheet7"/>
  <dimension ref="A1:J7"/>
  <sheetViews>
    <sheetView zoomScale="110" zoomScaleNormal="110" workbookViewId="0">
      <pane ySplit="6" topLeftCell="A7" activePane="bottomLeft" state="frozen"/>
      <selection activeCell="C35" sqref="C35"/>
      <selection pane="bottomLeft" activeCell="C16" sqref="C16"/>
    </sheetView>
  </sheetViews>
  <sheetFormatPr defaultColWidth="9.140625" defaultRowHeight="15" x14ac:dyDescent="0.25"/>
  <cols>
    <col min="1" max="1" width="8.42578125" style="15" customWidth="1"/>
    <col min="2" max="2" width="15.7109375" style="14" customWidth="1"/>
    <col min="3" max="3" width="76.140625" style="9" customWidth="1"/>
    <col min="4" max="4" width="12.42578125" style="9" customWidth="1"/>
    <col min="5" max="5" width="13" style="5" customWidth="1"/>
    <col min="6" max="6" width="11.7109375" style="5" customWidth="1"/>
    <col min="7" max="7" width="15.140625" style="14" customWidth="1"/>
    <col min="8" max="8" width="12.85546875" style="14" customWidth="1"/>
    <col min="9" max="9" width="45.5703125" style="5" customWidth="1"/>
    <col min="10" max="10" width="24.140625" bestFit="1" customWidth="1"/>
  </cols>
  <sheetData>
    <row r="1" spans="1:10" s="3" customFormat="1" ht="15.75" x14ac:dyDescent="0.25">
      <c r="A1" s="57" t="s">
        <v>8</v>
      </c>
      <c r="B1" s="58"/>
      <c r="C1" s="16" t="s">
        <v>9</v>
      </c>
      <c r="D1" s="29"/>
      <c r="E1" s="12"/>
      <c r="F1" s="12"/>
      <c r="G1" s="13"/>
      <c r="H1" s="13"/>
      <c r="I1" s="12"/>
    </row>
    <row r="2" spans="1:10" s="3" customFormat="1" ht="15.75" x14ac:dyDescent="0.25">
      <c r="A2" s="59" t="s">
        <v>10</v>
      </c>
      <c r="B2" s="60"/>
      <c r="C2" s="17" t="s">
        <v>11</v>
      </c>
      <c r="D2" s="29"/>
      <c r="E2" s="12"/>
      <c r="F2" s="12"/>
      <c r="G2" s="13"/>
      <c r="H2" s="13"/>
      <c r="I2" s="12"/>
    </row>
    <row r="3" spans="1:10" x14ac:dyDescent="0.25">
      <c r="A3" s="61" t="s">
        <v>12</v>
      </c>
      <c r="B3" s="62"/>
      <c r="C3" s="18" t="s">
        <v>40</v>
      </c>
      <c r="D3" s="28"/>
    </row>
    <row r="4" spans="1:10" x14ac:dyDescent="0.25">
      <c r="A4" s="5"/>
      <c r="C4" s="5"/>
      <c r="D4" s="5"/>
    </row>
    <row r="5" spans="1:10" s="5" customFormat="1" ht="21" x14ac:dyDescent="0.25">
      <c r="A5" s="63" t="s">
        <v>13</v>
      </c>
      <c r="B5" s="63"/>
      <c r="C5" s="63"/>
      <c r="D5" s="32"/>
      <c r="E5" s="4"/>
      <c r="F5" s="4"/>
      <c r="G5" s="4"/>
      <c r="H5" s="4"/>
      <c r="I5" s="4"/>
    </row>
    <row r="6" spans="1:10" ht="15" customHeight="1" x14ac:dyDescent="0.25">
      <c r="A6" s="6" t="s">
        <v>14</v>
      </c>
      <c r="B6" s="27" t="s">
        <v>15</v>
      </c>
      <c r="C6" t="s">
        <v>16</v>
      </c>
      <c r="D6" s="7" t="s">
        <v>17</v>
      </c>
      <c r="E6" t="s">
        <v>78</v>
      </c>
      <c r="F6" s="8" t="s">
        <v>18</v>
      </c>
      <c r="G6" s="8" t="s">
        <v>19</v>
      </c>
      <c r="H6" s="8" t="s">
        <v>20</v>
      </c>
      <c r="I6" s="8" t="s">
        <v>21</v>
      </c>
      <c r="J6" s="7" t="s">
        <v>22</v>
      </c>
    </row>
    <row r="7" spans="1:10" s="9" customFormat="1" ht="15" customHeight="1" x14ac:dyDescent="0.25">
      <c r="A7" s="41">
        <v>1</v>
      </c>
      <c r="B7" s="42" t="str">
        <f>_xlfn.CONCAT($C$2,".",A7)</f>
        <v>XYZ.1</v>
      </c>
      <c r="D7" s="9" t="s">
        <v>34</v>
      </c>
      <c r="E7" s="9" t="s">
        <v>80</v>
      </c>
      <c r="F7" s="43" t="s">
        <v>23</v>
      </c>
      <c r="G7" s="44" t="str">
        <f ca="1">HYPERLINK("#"&amp;$C$3&amp;"!B"&amp;(MATCH(B7,INDIRECT(_xlfn.CONCAT($C$3,"!$B:$B")),0)),"Link")</f>
        <v>Link</v>
      </c>
    </row>
  </sheetData>
  <sheetProtection formatCells="0" formatColumns="0" formatRows="0" insertColumns="0" insertRows="0" insertHyperlinks="0" deleteColumns="0" deleteRows="0" sort="0" autoFilter="0" pivotTables="0"/>
  <mergeCells count="4">
    <mergeCell ref="A1:B1"/>
    <mergeCell ref="A2:B2"/>
    <mergeCell ref="A3:B3"/>
    <mergeCell ref="A5:C5"/>
  </mergeCells>
  <phoneticPr fontId="8" type="noConversion"/>
  <conditionalFormatting sqref="A3:A4 F2:F1048576">
    <cfRule type="cellIs" dxfId="45" priority="23" operator="equal">
      <formula>""""""</formula>
    </cfRule>
  </conditionalFormatting>
  <dataValidations count="1">
    <dataValidation type="list" allowBlank="1" showInputMessage="1" showErrorMessage="1" sqref="F7" xr:uid="{D00F1317-4B1A-4DF6-93DD-F4DE0BF6FDF3}">
      <formula1>"Not tested, Passed, Failed"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1" r:id="rId4" name="1">
              <controlPr defaultSize="0" print="0" autoFill="0" autoPict="0" macro="[0]!DeleteButton">
                <anchor moveWithCells="1" sizeWithCells="1">
                  <from>
                    <xdr:col>1</xdr:col>
                    <xdr:colOff>57150</xdr:colOff>
                    <xdr:row>6</xdr:row>
                    <xdr:rowOff>19050</xdr:rowOff>
                  </from>
                  <to>
                    <xdr:col>1</xdr:col>
                    <xdr:colOff>180975</xdr:colOff>
                    <xdr:row>6</xdr:row>
                    <xdr:rowOff>161925</xdr:rowOff>
                  </to>
                </anchor>
              </controlPr>
            </control>
          </mc:Choice>
        </mc:AlternateContent>
        <mc:AlternateContent xmlns:mc="http://schemas.openxmlformats.org/markup-compatibility/2006">
          <mc:Choice Requires="x14">
            <control shapeId="16397" r:id="rId5" name="DeleteBtn">
              <controlPr defaultSize="0" print="0" autoFill="0" autoPict="0" macro="[0]!DeleteButton">
                <anchor moveWithCells="1" sizeWithCells="1">
                  <from>
                    <xdr:col>3</xdr:col>
                    <xdr:colOff>523875</xdr:colOff>
                    <xdr:row>1</xdr:row>
                    <xdr:rowOff>123825</xdr:rowOff>
                  </from>
                  <to>
                    <xdr:col>3</xdr:col>
                    <xdr:colOff>647700</xdr:colOff>
                    <xdr:row>2</xdr:row>
                    <xdr:rowOff>57150</xdr:rowOff>
                  </to>
                </anchor>
              </controlPr>
            </control>
          </mc:Choice>
        </mc:AlternateContent>
        <mc:AlternateContent xmlns:mc="http://schemas.openxmlformats.org/markup-compatibility/2006">
          <mc:Choice Requires="x14">
            <control shapeId="16385" r:id="rId6" name="Button 1">
              <controlPr defaultSize="0" print="0" autoFill="0" autoPict="0" macro="[0]!JumpToOverviewTab">
                <anchor moveWithCells="1" sizeWithCells="1">
                  <from>
                    <xdr:col>3</xdr:col>
                    <xdr:colOff>266700</xdr:colOff>
                    <xdr:row>0</xdr:row>
                    <xdr:rowOff>76200</xdr:rowOff>
                  </from>
                  <to>
                    <xdr:col>4</xdr:col>
                    <xdr:colOff>695325</xdr:colOff>
                    <xdr:row>2</xdr:row>
                    <xdr:rowOff>133350</xdr:rowOff>
                  </to>
                </anchor>
              </controlPr>
            </control>
          </mc:Choice>
        </mc:AlternateContent>
        <mc:AlternateContent xmlns:mc="http://schemas.openxmlformats.org/markup-compatibility/2006">
          <mc:Choice Requires="x14">
            <control shapeId="16388" r:id="rId7" name="AddNewTestCaseButton">
              <controlPr defaultSize="0" print="0" autoFill="0" autoPict="0" macro="[0]!AddNewTestCase">
                <anchor moveWithCells="1" sizeWithCells="1">
                  <from>
                    <xdr:col>0</xdr:col>
                    <xdr:colOff>123825</xdr:colOff>
                    <xdr:row>7</xdr:row>
                    <xdr:rowOff>123825</xdr:rowOff>
                  </from>
                  <to>
                    <xdr:col>1</xdr:col>
                    <xdr:colOff>885825</xdr:colOff>
                    <xdr:row>10</xdr:row>
                    <xdr:rowOff>9525</xdr:rowOff>
                  </to>
                </anchor>
              </controlPr>
            </control>
          </mc:Choice>
        </mc:AlternateContent>
        <mc:AlternateContent xmlns:mc="http://schemas.openxmlformats.org/markup-compatibility/2006">
          <mc:Choice Requires="x14">
            <control shapeId="16389" r:id="rId8" name="Button 5">
              <controlPr defaultSize="0" print="0" autoFill="0" autoPict="0" macro="[0]!ResetTestModule">
                <anchor moveWithCells="1" sizeWithCells="1">
                  <from>
                    <xdr:col>4</xdr:col>
                    <xdr:colOff>857250</xdr:colOff>
                    <xdr:row>0</xdr:row>
                    <xdr:rowOff>76200</xdr:rowOff>
                  </from>
                  <to>
                    <xdr:col>7</xdr:col>
                    <xdr:colOff>19050</xdr:colOff>
                    <xdr:row>2</xdr:row>
                    <xdr:rowOff>133350</xdr:rowOff>
                  </to>
                </anchor>
              </controlPr>
            </control>
          </mc:Choice>
        </mc:AlternateContent>
      </controls>
    </mc:Choice>
  </mc:AlternateContent>
  <tableParts count="1">
    <tablePart r:id="rId9"/>
  </tableParts>
  <extLst>
    <ext xmlns:x14="http://schemas.microsoft.com/office/spreadsheetml/2009/9/main" uri="{78C0D931-6437-407d-A8EE-F0AAD7539E65}">
      <x14:conditionalFormattings>
        <x14:conditionalFormatting xmlns:xm="http://schemas.microsoft.com/office/excel/2006/main">
          <x14:cfRule type="cellIs" priority="24" operator="equal" id="{DE25733B-EF0D-469F-AAAB-162603122ACA}">
            <xm:f>Dropdowns!$B$2</xm:f>
            <x14:dxf>
              <fill>
                <patternFill>
                  <bgColor theme="7"/>
                </patternFill>
              </fill>
            </x14:dxf>
          </x14:cfRule>
          <x14:cfRule type="cellIs" priority="25" operator="equal" id="{523A7BF8-F4C5-4A01-B937-CCC4D3A02770}">
            <xm:f>Dropdowns!$B$3</xm:f>
            <x14:dxf>
              <fill>
                <patternFill>
                  <bgColor rgb="FF92D050"/>
                </patternFill>
              </fill>
            </x14:dxf>
          </x14:cfRule>
          <x14:cfRule type="cellIs" priority="26" operator="equal" id="{89316434-CDDA-4A31-A233-665F80C92D23}">
            <xm:f>Dropdowns!$B$4</xm:f>
            <x14:dxf>
              <fill>
                <patternFill>
                  <bgColor rgb="FFFF0000"/>
                </patternFill>
              </fill>
            </x14:dxf>
          </x14:cfRule>
          <xm:sqref>A3:A4 F8:F1048576 F2:F6</xm:sqref>
        </x14:conditionalFormatting>
        <x14:conditionalFormatting xmlns:xm="http://schemas.microsoft.com/office/excel/2006/main">
          <x14:cfRule type="cellIs" priority="1" operator="equal" id="{8D8AD9FF-92F0-4EC8-BF42-24A28FF91621}">
            <xm:f>Dropdowns!$C$3</xm:f>
            <x14:dxf>
              <fill>
                <patternFill>
                  <bgColor rgb="FF92D050"/>
                </patternFill>
              </fill>
              <border>
                <right style="thin">
                  <color auto="1"/>
                </right>
              </border>
            </x14:dxf>
          </x14:cfRule>
          <x14:cfRule type="cellIs" priority="2" operator="equal" id="{4E40A3B2-D5AA-407B-BDA2-2DFEDC398935}">
            <xm:f>Dropdowns!$C$2</xm:f>
            <x14:dxf>
              <fill>
                <patternFill>
                  <bgColor rgb="FFFF0000"/>
                </patternFill>
              </fill>
              <border>
                <right style="thin">
                  <color auto="1"/>
                </right>
              </border>
            </x14:dxf>
          </x14:cfRule>
          <x14:cfRule type="cellIs" priority="12" operator="equal" id="{80CC66CE-AA40-4486-AD8D-5BF456A47695}">
            <xm:f>Dropdowns!$B$2</xm:f>
            <x14:dxf>
              <fill>
                <patternFill>
                  <bgColor theme="7"/>
                </patternFill>
              </fill>
              <border>
                <right style="thin">
                  <color auto="1"/>
                </right>
              </border>
            </x14:dxf>
          </x14:cfRule>
          <x14:cfRule type="cellIs" priority="13" operator="equal" id="{9289032E-1212-4512-89BF-CC8E438CA762}">
            <xm:f>Dropdowns!$B$3</xm:f>
            <x14:dxf>
              <fill>
                <patternFill>
                  <bgColor rgb="FF92D050"/>
                </patternFill>
              </fill>
              <border>
                <right style="thin">
                  <color auto="1"/>
                </right>
              </border>
            </x14:dxf>
          </x14:cfRule>
          <x14:cfRule type="cellIs" priority="14" operator="equal" id="{7CD079A1-3F27-49A5-B1F8-3691369EDA2F}">
            <xm:f>Dropdowns!$B$4</xm:f>
            <x14:dxf>
              <fill>
                <patternFill>
                  <bgColor rgb="FFFF0000"/>
                </patternFill>
              </fill>
              <border>
                <right style="thin">
                  <color auto="1"/>
                </right>
              </border>
            </x14:dxf>
          </x14:cfRule>
          <xm:sqref>F7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F4AF71F-E7D4-4BA5-A7E6-79269ED0E569}">
          <x14:formula1>
            <xm:f>Dropdowns!$A$2:$A$7</xm:f>
          </x14:formula1>
          <xm:sqref>D7</xm:sqref>
        </x14:dataValidation>
        <x14:dataValidation type="list" allowBlank="1" showInputMessage="1" showErrorMessage="1" xr:uid="{81978B3B-F3B4-4127-97A3-ECA5D2DB5147}">
          <x14:formula1>
            <xm:f>Dropdowns!$D$2:$D$3</xm:f>
          </x14:formula1>
          <xm:sqref>E7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554DF-1651-455A-8E3A-F4F864C7DA5C}">
  <sheetPr codeName="Sheet8"/>
  <dimension ref="A1:H24"/>
  <sheetViews>
    <sheetView workbookViewId="0">
      <pane ySplit="5" topLeftCell="A6" activePane="bottomLeft" state="frozen"/>
      <selection activeCell="C35" sqref="C35"/>
      <selection pane="bottomLeft" activeCell="F28" sqref="F28"/>
    </sheetView>
  </sheetViews>
  <sheetFormatPr defaultColWidth="9.140625" defaultRowHeight="15" x14ac:dyDescent="0.25"/>
  <cols>
    <col min="1" max="1" width="8.140625" style="14" customWidth="1"/>
    <col min="2" max="2" width="10.85546875" style="5" customWidth="1"/>
    <col min="3" max="3" width="6.7109375" style="5" customWidth="1"/>
    <col min="4" max="4" width="11.5703125" style="28" customWidth="1"/>
    <col min="5" max="5" width="7.140625" style="5" customWidth="1"/>
    <col min="6" max="7" width="57.140625" style="9" customWidth="1"/>
    <col min="8" max="8" width="85.7109375" style="2" customWidth="1"/>
    <col min="9" max="9" width="9.140625" customWidth="1"/>
  </cols>
  <sheetData>
    <row r="1" spans="1:8" x14ac:dyDescent="0.25">
      <c r="A1" s="57" t="s">
        <v>8</v>
      </c>
      <c r="B1" s="58"/>
      <c r="C1" s="58"/>
      <c r="D1" s="66" t="str" cm="1">
        <f t="array" aca="1" ref="D1" ca="1">INDIRECT(_xlfn.CONCAT(D2,"!C1"))</f>
        <v>Test Module XYZ</v>
      </c>
      <c r="E1" s="66"/>
      <c r="F1" s="67"/>
    </row>
    <row r="2" spans="1:8" x14ac:dyDescent="0.25">
      <c r="A2" s="61" t="s">
        <v>70</v>
      </c>
      <c r="B2" s="62"/>
      <c r="C2" s="62"/>
      <c r="D2" s="64" t="s">
        <v>39</v>
      </c>
      <c r="E2" s="64"/>
      <c r="F2" s="65"/>
    </row>
    <row r="4" spans="1:8" x14ac:dyDescent="0.25">
      <c r="B4" s="33"/>
    </row>
    <row r="5" spans="1:8" x14ac:dyDescent="0.25">
      <c r="A5" s="34" t="s">
        <v>14</v>
      </c>
      <c r="B5" s="35" t="s">
        <v>15</v>
      </c>
      <c r="C5" s="11" t="s">
        <v>24</v>
      </c>
      <c r="D5" s="36" t="s">
        <v>18</v>
      </c>
      <c r="E5" s="11" t="s">
        <v>25</v>
      </c>
      <c r="F5" s="10" t="s">
        <v>16</v>
      </c>
      <c r="G5" s="10" t="s">
        <v>26</v>
      </c>
      <c r="H5" s="26" t="s">
        <v>71</v>
      </c>
    </row>
    <row r="6" spans="1:8" s="9" customFormat="1" x14ac:dyDescent="0.25">
      <c r="A6" s="42">
        <v>1</v>
      </c>
      <c r="B6" s="9" t="str">
        <f ca="1">VLOOKUP(A6,INDIRECT(_xlfn.CONCAT($D$2,"!A:D")),2,FALSE)</f>
        <v>XYZ.1</v>
      </c>
      <c r="C6" s="45" t="str">
        <f ca="1">HYPERLINK("#"&amp;$D$2&amp;"!B"&amp;(MATCH(B6,INDIRECT(_xlfn.CONCAT($D$2,"!$B:$B")),0)),"Link")</f>
        <v>Link</v>
      </c>
      <c r="D6" s="47" t="s">
        <v>23</v>
      </c>
      <c r="E6" s="9">
        <v>1</v>
      </c>
      <c r="F6" s="9" t="s">
        <v>86</v>
      </c>
      <c r="H6" s="29"/>
    </row>
    <row r="7" spans="1:8" s="9" customFormat="1" x14ac:dyDescent="0.25">
      <c r="A7" s="42"/>
      <c r="C7" s="45"/>
      <c r="D7" s="48"/>
      <c r="E7" s="9">
        <v>2</v>
      </c>
      <c r="F7" s="9" t="s">
        <v>27</v>
      </c>
      <c r="H7" s="29"/>
    </row>
    <row r="8" spans="1:8" s="9" customFormat="1" x14ac:dyDescent="0.25">
      <c r="A8" s="42"/>
      <c r="C8" s="45"/>
      <c r="D8" s="49"/>
      <c r="E8" s="9">
        <v>3</v>
      </c>
      <c r="F8" s="9" t="s">
        <v>28</v>
      </c>
      <c r="H8" s="29"/>
    </row>
    <row r="9" spans="1:8" s="9" customFormat="1" x14ac:dyDescent="0.25">
      <c r="A9" s="42"/>
      <c r="B9" s="45"/>
      <c r="C9" s="45"/>
      <c r="D9" s="49"/>
      <c r="E9" s="9">
        <v>4</v>
      </c>
      <c r="F9" s="9" t="s">
        <v>29</v>
      </c>
      <c r="H9" s="29"/>
    </row>
    <row r="10" spans="1:8" s="9" customFormat="1" x14ac:dyDescent="0.25">
      <c r="A10" s="46"/>
      <c r="B10" s="29"/>
      <c r="C10" s="29"/>
      <c r="D10" s="48"/>
      <c r="E10" s="29">
        <v>5</v>
      </c>
      <c r="F10" s="29" t="s">
        <v>30</v>
      </c>
      <c r="G10" s="29" t="s">
        <v>73</v>
      </c>
      <c r="H10" s="29"/>
    </row>
    <row r="11" spans="1:8" s="9" customFormat="1" x14ac:dyDescent="0.25">
      <c r="A11" s="37"/>
      <c r="B11" s="30"/>
      <c r="C11" s="30"/>
      <c r="D11" s="38"/>
      <c r="E11" s="30"/>
      <c r="F11" s="31"/>
      <c r="H11" s="2"/>
    </row>
    <row r="12" spans="1:8" x14ac:dyDescent="0.25">
      <c r="A12" s="37"/>
      <c r="B12" s="30"/>
      <c r="C12" s="30"/>
      <c r="D12" s="38"/>
      <c r="E12" s="30"/>
      <c r="F12" s="31"/>
    </row>
    <row r="13" spans="1:8" x14ac:dyDescent="0.25">
      <c r="A13" s="37"/>
      <c r="B13" s="30"/>
      <c r="C13" s="30"/>
      <c r="D13" s="38"/>
      <c r="E13" s="30"/>
      <c r="F13" s="31"/>
    </row>
    <row r="14" spans="1:8" x14ac:dyDescent="0.25">
      <c r="A14" s="37"/>
      <c r="B14" s="30"/>
      <c r="C14" s="30"/>
      <c r="D14" s="38"/>
      <c r="E14" s="30"/>
      <c r="F14" s="31"/>
    </row>
    <row r="15" spans="1:8" x14ac:dyDescent="0.25">
      <c r="A15" s="37"/>
      <c r="B15" s="30"/>
      <c r="C15" s="30"/>
      <c r="D15" s="38"/>
      <c r="E15" s="30"/>
      <c r="F15" s="31"/>
    </row>
    <row r="16" spans="1:8" x14ac:dyDescent="0.25">
      <c r="A16" s="37"/>
      <c r="B16" s="30"/>
      <c r="C16" s="30"/>
      <c r="D16" s="38"/>
      <c r="E16" s="30"/>
      <c r="F16" s="31"/>
    </row>
    <row r="17" spans="1:6" x14ac:dyDescent="0.25">
      <c r="A17" s="37"/>
      <c r="B17" s="30"/>
      <c r="C17" s="30"/>
      <c r="D17" s="38"/>
      <c r="E17" s="30"/>
      <c r="F17" s="31"/>
    </row>
    <row r="18" spans="1:6" x14ac:dyDescent="0.25">
      <c r="A18" s="37"/>
      <c r="B18" s="30"/>
      <c r="C18" s="30"/>
      <c r="D18" s="38"/>
      <c r="E18" s="30"/>
      <c r="F18" s="31"/>
    </row>
    <row r="19" spans="1:6" x14ac:dyDescent="0.25">
      <c r="A19" s="37"/>
      <c r="B19" s="30"/>
      <c r="C19" s="30"/>
      <c r="D19" s="38"/>
      <c r="E19" s="30"/>
      <c r="F19" s="31"/>
    </row>
    <row r="20" spans="1:6" x14ac:dyDescent="0.25">
      <c r="A20" s="37"/>
      <c r="B20" s="30"/>
      <c r="C20" s="30"/>
      <c r="D20" s="38"/>
      <c r="E20" s="30"/>
      <c r="F20" s="31"/>
    </row>
    <row r="21" spans="1:6" x14ac:dyDescent="0.25">
      <c r="A21" s="37"/>
      <c r="B21" s="30"/>
      <c r="C21" s="30"/>
      <c r="D21" s="38"/>
      <c r="E21" s="30"/>
      <c r="F21" s="31"/>
    </row>
    <row r="22" spans="1:6" x14ac:dyDescent="0.25">
      <c r="A22" s="37"/>
      <c r="B22" s="30"/>
      <c r="C22" s="30"/>
      <c r="D22" s="38"/>
      <c r="E22" s="30"/>
      <c r="F22" s="31"/>
    </row>
    <row r="23" spans="1:6" x14ac:dyDescent="0.25">
      <c r="A23" s="37"/>
      <c r="B23" s="30"/>
      <c r="C23" s="30"/>
      <c r="D23" s="38"/>
      <c r="E23" s="30"/>
      <c r="F23" s="31"/>
    </row>
    <row r="24" spans="1:6" x14ac:dyDescent="0.25">
      <c r="A24" s="37"/>
      <c r="B24" s="30"/>
      <c r="C24" s="30"/>
      <c r="D24" s="38"/>
      <c r="E24" s="30"/>
      <c r="F24" s="31"/>
    </row>
  </sheetData>
  <mergeCells count="4">
    <mergeCell ref="D2:F2"/>
    <mergeCell ref="D1:F1"/>
    <mergeCell ref="A1:C1"/>
    <mergeCell ref="A2:C2"/>
  </mergeCells>
  <conditionalFormatting sqref="D6">
    <cfRule type="cellIs" dxfId="22" priority="255" operator="equal">
      <formula>""""""</formula>
    </cfRule>
  </conditionalFormatting>
  <dataValidations count="1">
    <dataValidation type="list" allowBlank="1" showInputMessage="1" showErrorMessage="1" sqref="D6" xr:uid="{D0C6B754-F2E6-455A-8D9C-D37BD0CE465D}">
      <formula1>"Not tested, Passed, Failed"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setTestModule">
                <anchor moveWithCells="1" sizeWithCells="1">
                  <from>
                    <xdr:col>6</xdr:col>
                    <xdr:colOff>1466850</xdr:colOff>
                    <xdr:row>0</xdr:row>
                    <xdr:rowOff>66675</xdr:rowOff>
                  </from>
                  <to>
                    <xdr:col>6</xdr:col>
                    <xdr:colOff>3238500</xdr:colOff>
                    <xdr:row>2</xdr:row>
                    <xdr:rowOff>142875</xdr:rowOff>
                  </to>
                </anchor>
              </controlPr>
            </control>
          </mc:Choice>
        </mc:AlternateContent>
        <mc:AlternateContent xmlns:mc="http://schemas.openxmlformats.org/markup-compatibility/2006">
          <mc:Choice Requires="x14">
            <control shapeId="17410" r:id="rId5" name="Button 2">
              <controlPr defaultSize="0" print="0" autoFill="0" autoPict="0" macro="[0]!JumpToOverviewTab">
                <anchor moveWithCells="1" sizeWithCells="1">
                  <from>
                    <xdr:col>6</xdr:col>
                    <xdr:colOff>228600</xdr:colOff>
                    <xdr:row>0</xdr:row>
                    <xdr:rowOff>66675</xdr:rowOff>
                  </from>
                  <to>
                    <xdr:col>6</xdr:col>
                    <xdr:colOff>1314450</xdr:colOff>
                    <xdr:row>2</xdr:row>
                    <xdr:rowOff>142875</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cellIs" priority="121" operator="equal" id="{A1802BC5-8A76-46A9-B2E9-8C8EE7EAEF1D}">
            <xm:f>Dropdowns!$C$3</xm:f>
            <x14:dxf>
              <fill>
                <patternFill>
                  <bgColor rgb="FF92D050"/>
                </patternFill>
              </fill>
              <border>
                <right style="thin">
                  <color auto="1"/>
                </right>
              </border>
            </x14:dxf>
          </x14:cfRule>
          <x14:cfRule type="cellIs" priority="122" operator="equal" id="{F612C8D2-3B51-45C4-B85F-E8744FED285E}">
            <xm:f>Dropdowns!$C$2</xm:f>
            <x14:dxf>
              <fill>
                <patternFill>
                  <bgColor rgb="FFFF0000"/>
                </patternFill>
              </fill>
              <border>
                <right style="thin">
                  <color auto="1"/>
                </right>
              </border>
            </x14:dxf>
          </x14:cfRule>
          <x14:cfRule type="cellIs" priority="256" operator="equal" id="{4A26F9A3-61E1-4963-85AC-F8FA1490294A}">
            <xm:f>Dropdowns!$B$2</xm:f>
            <x14:dxf>
              <fill>
                <patternFill>
                  <bgColor theme="7"/>
                </patternFill>
              </fill>
              <border>
                <right style="thin">
                  <color auto="1"/>
                </right>
              </border>
            </x14:dxf>
          </x14:cfRule>
          <x14:cfRule type="cellIs" priority="257" operator="equal" id="{4BAAC06D-906A-43C8-94F1-5B5B539A3AA0}">
            <xm:f>Dropdowns!$B$3</xm:f>
            <x14:dxf>
              <fill>
                <patternFill>
                  <bgColor rgb="FF92D050"/>
                </patternFill>
              </fill>
              <border>
                <right style="thin">
                  <color auto="1"/>
                </right>
              </border>
            </x14:dxf>
          </x14:cfRule>
          <x14:cfRule type="cellIs" priority="258" operator="equal" id="{7A9F1606-2E29-4E28-A253-402197A202D8}">
            <xm:f>Dropdowns!$B$4</xm:f>
            <x14:dxf>
              <fill>
                <patternFill>
                  <bgColor rgb="FFFF0000"/>
                </patternFill>
              </fill>
              <border>
                <right style="thin">
                  <color auto="1"/>
                </right>
              </border>
            </x14:dxf>
          </x14:cfRule>
          <xm:sqref>D6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419-0551-493F-B6B3-C8AFD564A355}">
  <sheetPr codeName="Sheet3"/>
  <dimension ref="A1:D7"/>
  <sheetViews>
    <sheetView workbookViewId="0">
      <selection activeCell="G7" sqref="G7"/>
    </sheetView>
  </sheetViews>
  <sheetFormatPr defaultRowHeight="15" x14ac:dyDescent="0.25"/>
  <cols>
    <col min="1" max="1" width="13.140625" bestFit="1" customWidth="1"/>
    <col min="2" max="2" width="17.85546875" bestFit="1" customWidth="1"/>
    <col min="3" max="3" width="21.42578125" bestFit="1" customWidth="1"/>
    <col min="4" max="4" width="13.140625" customWidth="1"/>
  </cols>
  <sheetData>
    <row r="1" spans="1:4" x14ac:dyDescent="0.25">
      <c r="A1" s="1" t="s">
        <v>31</v>
      </c>
      <c r="B1" s="1" t="s">
        <v>75</v>
      </c>
      <c r="C1" s="1" t="s">
        <v>76</v>
      </c>
      <c r="D1" s="1" t="s">
        <v>78</v>
      </c>
    </row>
    <row r="2" spans="1:4" x14ac:dyDescent="0.25">
      <c r="A2" t="s">
        <v>66</v>
      </c>
      <c r="B2" t="s">
        <v>23</v>
      </c>
      <c r="C2" t="s">
        <v>81</v>
      </c>
      <c r="D2" t="s">
        <v>80</v>
      </c>
    </row>
    <row r="3" spans="1:4" x14ac:dyDescent="0.25">
      <c r="A3" t="s">
        <v>34</v>
      </c>
      <c r="B3" t="s">
        <v>32</v>
      </c>
      <c r="C3" t="s">
        <v>77</v>
      </c>
      <c r="D3" t="s">
        <v>79</v>
      </c>
    </row>
    <row r="4" spans="1:4" x14ac:dyDescent="0.25">
      <c r="A4" t="s">
        <v>35</v>
      </c>
      <c r="B4" t="s">
        <v>33</v>
      </c>
    </row>
    <row r="5" spans="1:4" x14ac:dyDescent="0.25">
      <c r="A5" t="s">
        <v>36</v>
      </c>
    </row>
    <row r="6" spans="1:4" x14ac:dyDescent="0.25">
      <c r="A6" t="s">
        <v>37</v>
      </c>
    </row>
    <row r="7" spans="1:4" x14ac:dyDescent="0.25">
      <c r="A7" t="s">
        <v>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2292FDB0E7FB46997C03B61A683158" ma:contentTypeVersion="16" ma:contentTypeDescription="Create a new document." ma:contentTypeScope="" ma:versionID="d4c0f3fe04f19a2d6ef0117c4eccb3e5">
  <xsd:schema xmlns:xsd="http://www.w3.org/2001/XMLSchema" xmlns:xs="http://www.w3.org/2001/XMLSchema" xmlns:p="http://schemas.microsoft.com/office/2006/metadata/properties" xmlns:ns2="708a572f-39ad-4f97-bb05-5bf99066c4d4" xmlns:ns3="a4b29b84-ef5d-4dbf-9d72-a5a193ab453d" targetNamespace="http://schemas.microsoft.com/office/2006/metadata/properties" ma:root="true" ma:fieldsID="363087e5f6167bb30081bd6e388f9b78" ns2:_="" ns3:_="">
    <xsd:import namespace="708a572f-39ad-4f97-bb05-5bf99066c4d4"/>
    <xsd:import namespace="a4b29b84-ef5d-4dbf-9d72-a5a193ab45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MediaServiceOCR"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8a572f-39ad-4f97-bb05-5bf99066c4d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ab84197e-c3cb-48e5-b2c8-950a6533e36b}" ma:internalName="TaxCatchAll" ma:showField="CatchAllData" ma:web="708a572f-39ad-4f97-bb05-5bf99066c4d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4b29b84-ef5d-4dbf-9d72-a5a193ab453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3e722c5-bebe-4801-a6ac-67aa35eba088"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MediaLengthInSeconds xmlns="a4b29b84-ef5d-4dbf-9d72-a5a193ab453d" xsi:nil="true"/>
    <lcf76f155ced4ddcb4097134ff3c332f xmlns="a4b29b84-ef5d-4dbf-9d72-a5a193ab453d">
      <Terms xmlns="http://schemas.microsoft.com/office/infopath/2007/PartnerControls"/>
    </lcf76f155ced4ddcb4097134ff3c332f>
    <TaxCatchAll xmlns="708a572f-39ad-4f97-bb05-5bf99066c4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98447BE-4E99-44F9-A5BC-83DF23F3CA8B}"/>
</file>

<file path=customXml/itemProps2.xml><?xml version="1.0" encoding="utf-8"?>
<ds:datastoreItem xmlns:ds="http://schemas.openxmlformats.org/officeDocument/2006/customXml" ds:itemID="{DD8D4CAD-8D5C-480B-A71A-910E1177AFC0}">
  <ds:schemaRefs>
    <ds:schemaRef ds:uri="http://www.w3.org/XML/1998/namespace"/>
    <ds:schemaRef ds:uri="http://schemas.microsoft.com/office/2006/documentManagement/types"/>
    <ds:schemaRef ds:uri="b0e5296d-2139-4a7e-8faf-e0f40f425021"/>
    <ds:schemaRef ds:uri="http://schemas.microsoft.com/office/infopath/2007/PartnerControls"/>
    <ds:schemaRef ds:uri="7e23d73a-55ad-498c-9f2a-d3f01a016030"/>
    <ds:schemaRef ds:uri="http://purl.org/dc/elements/1.1/"/>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1B6196D2-3E04-45D2-8786-F9D7F8A2CC5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Overview</vt:lpstr>
      <vt:lpstr>TestModuleTemplate</vt:lpstr>
      <vt:lpstr>TestStepsTemplate</vt:lpstr>
      <vt:lpstr>Dropdowns</vt:lpstr>
      <vt:lpstr>TestStatusAutomated</vt:lpstr>
      <vt:lpstr>TestStatusManual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Langston Brittany</dc:creator>
  <cp:keywords/>
  <dc:description/>
  <cp:lastModifiedBy>Brittany Langston</cp:lastModifiedBy>
  <cp:revision/>
  <dcterms:created xsi:type="dcterms:W3CDTF">2023-02-01T18:14:10Z</dcterms:created>
  <dcterms:modified xsi:type="dcterms:W3CDTF">2023-07-28T14:56:36Z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0x010100602292FDB0E7FB46997C03B61A683158</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